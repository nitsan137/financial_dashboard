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itsan\VS Projects\Projects\Dashboard\"/>
    </mc:Choice>
  </mc:AlternateContent>
  <xr:revisionPtr revIDLastSave="0" documentId="13_ncr:1_{09944D76-891F-4C3E-A3A7-3419C6B7BD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P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D36" i="1" s="1"/>
  <c r="C34" i="1"/>
  <c r="C36" i="1" s="1"/>
  <c r="D31" i="1"/>
  <c r="C31" i="1"/>
  <c r="D19" i="1"/>
  <c r="C19" i="1"/>
  <c r="C23" i="1" s="1"/>
  <c r="C38" i="1" l="1"/>
  <c r="C32" i="1"/>
  <c r="D32" i="1"/>
  <c r="D21" i="1"/>
  <c r="D23" i="1" s="1"/>
  <c r="D38" i="1" s="1"/>
</calcChain>
</file>

<file path=xl/sharedStrings.xml><?xml version="1.0" encoding="utf-8"?>
<sst xmlns="http://schemas.openxmlformats.org/spreadsheetml/2006/main" count="31" uniqueCount="30">
  <si>
    <t>Date</t>
  </si>
  <si>
    <t>Account</t>
  </si>
  <si>
    <t>USD/ILS</t>
  </si>
  <si>
    <t>Bank Statement (K)</t>
  </si>
  <si>
    <t>Total USD</t>
  </si>
  <si>
    <t>ILS Account</t>
  </si>
  <si>
    <t>USD Account</t>
  </si>
  <si>
    <t>Stripe</t>
  </si>
  <si>
    <t>SVB Account</t>
  </si>
  <si>
    <t>Other Securities (MMF)</t>
  </si>
  <si>
    <t>Restricted Cash</t>
  </si>
  <si>
    <t>Bank Deposits</t>
  </si>
  <si>
    <t>Restricted Deposit</t>
  </si>
  <si>
    <t>Total Cash</t>
  </si>
  <si>
    <t>Previous month Cash</t>
  </si>
  <si>
    <t>Cahnge in Cash (net BR)</t>
  </si>
  <si>
    <t>Other KPIs</t>
  </si>
  <si>
    <t>BR Break Down</t>
  </si>
  <si>
    <t>Income</t>
  </si>
  <si>
    <t>Payroll and Related Expenses</t>
  </si>
  <si>
    <t>Other Expenses</t>
  </si>
  <si>
    <t>Finaniclal Income</t>
  </si>
  <si>
    <t>Net BR</t>
  </si>
  <si>
    <t>Gross BR</t>
  </si>
  <si>
    <t>MRR</t>
  </si>
  <si>
    <t>ARR</t>
  </si>
  <si>
    <t>BR check</t>
  </si>
  <si>
    <t>Company Name</t>
  </si>
  <si>
    <t>Nitsan Ltd.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</si>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</sst>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/yy"/>
    <numFmt numFmtId="165" formatCode="&quot;$&quot;#,##0.00"/>
    <numFmt numFmtId="166" formatCode="[$₪-40D]#,##0.00"/>
    <numFmt numFmtId="167" formatCode="_-[$$-409]* #,##0_ ;_-[$$-409]* \-#,##0\ ;_-[$$-409]* &quot;-&quot;_ ;_-@_ "/>
  </numFmts>
  <fonts count="9" x14ac:knownFonts="1">
    <font>
      <sz val="10"/>
      <color rgb="FF000000"/>
      <name val="Arial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980000"/>
      <name val="Calibri"/>
      <family val="2"/>
    </font>
    <font>
      <b/>
      <sz val="10"/>
      <color rgb="FF000000"/>
      <name val="Calibri"/>
      <family val="2"/>
    </font>
    <font>
      <b/>
      <u/>
      <sz val="10"/>
      <color rgb="FF000000"/>
      <name val="Calibri"/>
      <family val="2"/>
    </font>
    <font>
      <u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165" fontId="3" fillId="0" borderId="0" xfId="0" applyNumberFormat="1" applyFont="1"/>
    <xf numFmtId="0" fontId="4" fillId="0" borderId="0" xfId="0" applyFont="1"/>
    <xf numFmtId="166" fontId="2" fillId="0" borderId="0" xfId="0" applyNumberFormat="1" applyFont="1"/>
    <xf numFmtId="0" fontId="5" fillId="0" borderId="0" xfId="0" applyFont="1"/>
    <xf numFmtId="3" fontId="5" fillId="0" borderId="0" xfId="0" applyNumberFormat="1" applyFont="1"/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4" fontId="6" fillId="0" borderId="1" xfId="0" applyNumberFormat="1" applyFont="1" applyBorder="1" applyAlignment="1">
      <alignment horizontal="right"/>
    </xf>
    <xf numFmtId="0" fontId="1" fillId="2" borderId="0" xfId="0" applyFont="1" applyFill="1"/>
    <xf numFmtId="0" fontId="8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6" fillId="0" borderId="0" xfId="0" applyFont="1"/>
    <xf numFmtId="167" fontId="6" fillId="0" borderId="0" xfId="0" applyNumberFormat="1" applyFont="1" applyAlignment="1">
      <alignment horizontal="left"/>
    </xf>
    <xf numFmtId="167" fontId="6" fillId="0" borderId="1" xfId="0" applyNumberFormat="1" applyFont="1" applyBorder="1" applyAlignment="1">
      <alignment horizontal="left"/>
    </xf>
    <xf numFmtId="167" fontId="6" fillId="0" borderId="0" xfId="0" applyNumberFormat="1" applyFont="1"/>
    <xf numFmtId="167" fontId="1" fillId="0" borderId="0" xfId="0" applyNumberFormat="1" applyFont="1"/>
    <xf numFmtId="167" fontId="6" fillId="0" borderId="2" xfId="0" applyNumberFormat="1" applyFont="1" applyBorder="1" applyAlignment="1">
      <alignment horizontal="left"/>
    </xf>
    <xf numFmtId="167" fontId="1" fillId="2" borderId="0" xfId="0" applyNumberFormat="1" applyFont="1" applyFill="1"/>
    <xf numFmtId="167" fontId="2" fillId="0" borderId="0" xfId="0" applyNumberFormat="1" applyFont="1"/>
    <xf numFmtId="167" fontId="2" fillId="0" borderId="1" xfId="0" applyNumberFormat="1" applyFont="1" applyBorder="1"/>
    <xf numFmtId="0" fontId="6" fillId="0" borderId="1" xfId="0" applyFont="1" applyBorder="1" applyAlignment="1">
      <alignment horizontal="left"/>
    </xf>
    <xf numFmtId="0" fontId="7" fillId="2" borderId="0" xfId="0" applyFont="1" applyFill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8"/>
  <sheetViews>
    <sheetView tabSelected="1" workbookViewId="0">
      <selection activeCell="G10" sqref="G10"/>
    </sheetView>
  </sheetViews>
  <sheetFormatPr defaultColWidth="12.6640625" defaultRowHeight="15.75" customHeight="1" x14ac:dyDescent="0.3"/>
  <cols>
    <col min="1" max="16384" width="12.6640625" style="1"/>
  </cols>
  <sheetData>
    <row r="1" spans="1:9" ht="15.75" customHeight="1" x14ac:dyDescent="0.3">
      <c r="A1" s="8" t="s">
        <v>27</v>
      </c>
      <c r="C1" s="25" t="s">
        <v>28</v>
      </c>
      <c r="H1" s="10"/>
      <c r="I1" s="11"/>
    </row>
    <row r="2" spans="1:9" ht="15.75" customHeight="1" x14ac:dyDescent="0.3">
      <c r="A2" s="8" t="s">
        <v>29</v>
      </c>
      <c r="C2" s="25">
        <v>111</v>
      </c>
      <c r="H2" s="10"/>
      <c r="I2" s="11"/>
    </row>
    <row r="3" spans="1:9" ht="15.75" customHeight="1" x14ac:dyDescent="0.3">
      <c r="A3" s="8"/>
      <c r="C3" s="9"/>
      <c r="D3" s="9"/>
      <c r="H3" s="10"/>
      <c r="I3" s="11"/>
    </row>
    <row r="4" spans="1:9" ht="15.75" customHeight="1" x14ac:dyDescent="0.3">
      <c r="A4" s="8" t="s">
        <v>0</v>
      </c>
      <c r="C4" s="12">
        <v>46053</v>
      </c>
      <c r="D4" s="12">
        <v>46081</v>
      </c>
    </row>
    <row r="5" spans="1:9" ht="15.75" customHeight="1" x14ac:dyDescent="0.3">
      <c r="H5" s="10"/>
      <c r="I5" s="11"/>
    </row>
    <row r="6" spans="1:9" ht="15.75" customHeight="1" x14ac:dyDescent="0.3">
      <c r="A6" s="8" t="s">
        <v>2</v>
      </c>
      <c r="C6" s="2">
        <v>3.0950000000000002</v>
      </c>
      <c r="D6" s="2">
        <v>3.1219999999999999</v>
      </c>
    </row>
    <row r="8" spans="1:9" ht="15.75" customHeight="1" x14ac:dyDescent="0.3">
      <c r="A8" s="26" t="s">
        <v>3</v>
      </c>
      <c r="B8" s="27"/>
      <c r="C8" s="13"/>
      <c r="D8" s="13"/>
    </row>
    <row r="9" spans="1:9" ht="15.75" customHeight="1" x14ac:dyDescent="0.3">
      <c r="A9" s="14" t="s">
        <v>1</v>
      </c>
      <c r="C9" s="15" t="s">
        <v>4</v>
      </c>
      <c r="D9" s="15" t="s">
        <v>4</v>
      </c>
    </row>
    <row r="10" spans="1:9" ht="15.75" customHeight="1" x14ac:dyDescent="0.3">
      <c r="A10" s="10" t="s">
        <v>5</v>
      </c>
      <c r="C10" s="17">
        <v>154</v>
      </c>
      <c r="D10" s="17">
        <v>74</v>
      </c>
    </row>
    <row r="11" spans="1:9" ht="15.75" customHeight="1" x14ac:dyDescent="0.3">
      <c r="A11" s="10" t="s">
        <v>6</v>
      </c>
      <c r="C11" s="17">
        <v>222</v>
      </c>
      <c r="D11" s="17">
        <v>1446</v>
      </c>
    </row>
    <row r="12" spans="1:9" ht="15.75" customHeight="1" x14ac:dyDescent="0.3">
      <c r="A12" s="10" t="s">
        <v>7</v>
      </c>
      <c r="B12" s="16"/>
      <c r="C12" s="17">
        <v>84</v>
      </c>
      <c r="D12" s="17">
        <v>90</v>
      </c>
    </row>
    <row r="13" spans="1:9" ht="15.75" customHeight="1" x14ac:dyDescent="0.3">
      <c r="A13" s="10" t="s">
        <v>8</v>
      </c>
      <c r="C13" s="17">
        <v>1004</v>
      </c>
      <c r="D13" s="17">
        <v>1004</v>
      </c>
    </row>
    <row r="14" spans="1:9" ht="15.75" customHeight="1" x14ac:dyDescent="0.3">
      <c r="A14" s="28" t="s">
        <v>9</v>
      </c>
      <c r="B14" s="27"/>
      <c r="C14" s="18">
        <v>1561</v>
      </c>
      <c r="D14" s="18">
        <v>1561</v>
      </c>
    </row>
    <row r="15" spans="1:9" ht="15.75" customHeight="1" x14ac:dyDescent="0.3">
      <c r="A15" s="29" t="s">
        <v>10</v>
      </c>
      <c r="B15" s="27"/>
      <c r="C15" s="19"/>
      <c r="D15" s="19"/>
    </row>
    <row r="16" spans="1:9" ht="15.75" customHeight="1" x14ac:dyDescent="0.3">
      <c r="A16" s="10" t="s">
        <v>11</v>
      </c>
      <c r="C16" s="17">
        <v>1400</v>
      </c>
      <c r="D16" s="17">
        <v>0</v>
      </c>
    </row>
    <row r="17" spans="1:5" ht="15.75" customHeight="1" x14ac:dyDescent="0.3">
      <c r="A17" s="28" t="s">
        <v>12</v>
      </c>
      <c r="B17" s="27"/>
      <c r="C17" s="18">
        <v>128</v>
      </c>
      <c r="D17" s="18">
        <v>126</v>
      </c>
    </row>
    <row r="18" spans="1:5" ht="15.75" customHeight="1" x14ac:dyDescent="0.3">
      <c r="C18" s="20"/>
      <c r="D18" s="20"/>
    </row>
    <row r="19" spans="1:5" ht="15.75" customHeight="1" x14ac:dyDescent="0.3">
      <c r="A19" s="8" t="s">
        <v>13</v>
      </c>
      <c r="C19" s="21">
        <f t="shared" ref="C19:D19" si="0">SUM(C10:C17)</f>
        <v>4553</v>
      </c>
      <c r="D19" s="21">
        <f t="shared" si="0"/>
        <v>4301</v>
      </c>
    </row>
    <row r="20" spans="1:5" ht="13.8" x14ac:dyDescent="0.3">
      <c r="C20" s="20"/>
      <c r="D20" s="20"/>
      <c r="E20" s="3"/>
    </row>
    <row r="21" spans="1:5" ht="15.75" customHeight="1" x14ac:dyDescent="0.3">
      <c r="A21" s="2" t="s">
        <v>14</v>
      </c>
      <c r="C21" s="21">
        <v>4866</v>
      </c>
      <c r="D21" s="21">
        <f>KPIs!C19</f>
        <v>4553</v>
      </c>
      <c r="E21" s="3"/>
    </row>
    <row r="22" spans="1:5" ht="13.8" x14ac:dyDescent="0.3">
      <c r="A22" s="2"/>
      <c r="C22" s="20"/>
      <c r="D22" s="20"/>
      <c r="E22" s="3"/>
    </row>
    <row r="23" spans="1:5" ht="15.75" customHeight="1" x14ac:dyDescent="0.3">
      <c r="A23" s="2" t="s">
        <v>15</v>
      </c>
      <c r="C23" s="21">
        <f t="shared" ref="C23:D23" si="1">C21-C19</f>
        <v>313</v>
      </c>
      <c r="D23" s="21">
        <f t="shared" si="1"/>
        <v>252</v>
      </c>
    </row>
    <row r="24" spans="1:5" ht="13.8" x14ac:dyDescent="0.3">
      <c r="A24" s="4"/>
      <c r="C24" s="20"/>
      <c r="D24" s="20"/>
    </row>
    <row r="25" spans="1:5" ht="15.75" customHeight="1" x14ac:dyDescent="0.3">
      <c r="A25" s="26" t="s">
        <v>16</v>
      </c>
      <c r="B25" s="27"/>
      <c r="C25" s="22"/>
      <c r="D25" s="22"/>
    </row>
    <row r="26" spans="1:5" ht="13.8" x14ac:dyDescent="0.3">
      <c r="A26" s="4" t="s">
        <v>17</v>
      </c>
      <c r="C26" s="20"/>
      <c r="D26" s="20"/>
    </row>
    <row r="27" spans="1:5" ht="13.8" x14ac:dyDescent="0.3">
      <c r="A27" s="2" t="s">
        <v>18</v>
      </c>
      <c r="B27" s="2"/>
      <c r="C27" s="23">
        <v>10</v>
      </c>
      <c r="D27" s="23">
        <v>6</v>
      </c>
    </row>
    <row r="28" spans="1:5" ht="13.8" x14ac:dyDescent="0.3">
      <c r="A28" s="2" t="s">
        <v>19</v>
      </c>
      <c r="B28" s="2"/>
      <c r="C28" s="23">
        <v>-198</v>
      </c>
      <c r="D28" s="23">
        <v>-168</v>
      </c>
    </row>
    <row r="29" spans="1:5" ht="13.8" x14ac:dyDescent="0.3">
      <c r="A29" s="2" t="s">
        <v>20</v>
      </c>
      <c r="B29" s="2"/>
      <c r="C29" s="23">
        <v>-132</v>
      </c>
      <c r="D29" s="23">
        <v>-96</v>
      </c>
    </row>
    <row r="30" spans="1:5" ht="13.8" x14ac:dyDescent="0.3">
      <c r="A30" s="2" t="s">
        <v>21</v>
      </c>
      <c r="B30" s="2"/>
      <c r="C30" s="24">
        <v>7</v>
      </c>
      <c r="D30" s="24">
        <v>6</v>
      </c>
    </row>
    <row r="31" spans="1:5" ht="13.8" x14ac:dyDescent="0.3">
      <c r="A31" s="2" t="s">
        <v>22</v>
      </c>
      <c r="C31" s="23">
        <f t="shared" ref="C31:D31" si="2">SUM(C27:C30)</f>
        <v>-313</v>
      </c>
      <c r="D31" s="23">
        <f t="shared" si="2"/>
        <v>-252</v>
      </c>
    </row>
    <row r="32" spans="1:5" ht="13.8" x14ac:dyDescent="0.3">
      <c r="A32" s="2" t="s">
        <v>23</v>
      </c>
      <c r="B32" s="2"/>
      <c r="C32" s="23">
        <f t="shared" ref="C32:D32" si="3">C31-C27-C30</f>
        <v>-330</v>
      </c>
      <c r="D32" s="23">
        <f t="shared" si="3"/>
        <v>-264</v>
      </c>
    </row>
    <row r="33" spans="1:4" ht="15.75" customHeight="1" x14ac:dyDescent="0.3">
      <c r="C33" s="20"/>
      <c r="D33" s="20"/>
    </row>
    <row r="34" spans="1:4" ht="13.8" x14ac:dyDescent="0.3">
      <c r="A34" s="2" t="s">
        <v>24</v>
      </c>
      <c r="B34" s="2"/>
      <c r="C34" s="23">
        <f t="shared" ref="C34:D34" si="4">C27</f>
        <v>10</v>
      </c>
      <c r="D34" s="23">
        <f t="shared" si="4"/>
        <v>6</v>
      </c>
    </row>
    <row r="35" spans="1:4" ht="13.8" x14ac:dyDescent="0.3">
      <c r="A35" s="2"/>
      <c r="B35" s="2"/>
      <c r="C35" s="23"/>
      <c r="D35" s="23"/>
    </row>
    <row r="36" spans="1:4" ht="13.8" x14ac:dyDescent="0.3">
      <c r="A36" s="2" t="s">
        <v>25</v>
      </c>
      <c r="B36" s="2"/>
      <c r="C36" s="23">
        <f t="shared" ref="C36:D36" si="5">C34*12</f>
        <v>120</v>
      </c>
      <c r="D36" s="23">
        <f t="shared" si="5"/>
        <v>72</v>
      </c>
    </row>
    <row r="37" spans="1:4" ht="13.8" x14ac:dyDescent="0.3">
      <c r="A37" s="2"/>
      <c r="B37" s="2"/>
      <c r="C37" s="5"/>
      <c r="D37" s="5"/>
    </row>
    <row r="38" spans="1:4" ht="13.8" x14ac:dyDescent="0.3">
      <c r="A38" s="6" t="s">
        <v>26</v>
      </c>
      <c r="C38" s="7">
        <f t="shared" ref="C38:D38" si="6">C31+C23</f>
        <v>0</v>
      </c>
      <c r="D38" s="7">
        <f t="shared" si="6"/>
        <v>0</v>
      </c>
    </row>
  </sheetData>
  <mergeCells count="5">
    <mergeCell ref="A8:B8"/>
    <mergeCell ref="A14:B14"/>
    <mergeCell ref="A15:B15"/>
    <mergeCell ref="A17:B17"/>
    <mergeCell ref="A25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KPIs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Nitsan Pinhas</cp:lastModifiedBy>
  <dcterms:modified xsi:type="dcterms:W3CDTF">2026-03-19T19:12:49Z</dcterms:modified>
</cp:coreProperties>
</file>